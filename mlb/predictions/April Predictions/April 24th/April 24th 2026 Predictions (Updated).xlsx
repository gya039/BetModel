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'Predictions'!$A$6:$H$20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EAF8F1"/>
      </patternFill>
    </fill>
    <fill>
      <patternFill patternType="solid">
        <fgColor rgb="00FFF1E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hidden="1" width="12" customWidth="1" min="8" max="8"/>
  </cols>
  <sheetData>
    <row r="1" ht="15" customHeight="1">
      <c r="A1" s="1" t="inlineStr">
        <is>
          <t>April 24th 2026 Predictions Tracker</t>
        </is>
      </c>
    </row>
    <row r="2" ht="15" customHeight="1">
      <c r="A2" s="2" t="inlineStr">
        <is>
          <t>Bankroll: EUR 591.97</t>
        </is>
      </c>
    </row>
    <row r="3" ht="15" customHeight="1">
      <c r="A3" s="2" t="inlineStr">
        <is>
          <t>Generated for: 2026-04-24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  <c r="H6" s="3" t="inlineStr">
        <is>
          <t>Game PK</t>
        </is>
      </c>
    </row>
    <row r="7" ht="15" customHeight="1">
      <c r="A7" s="4" t="inlineStr">
        <is>
          <t>Detroit Tigers vs Cincinnati Reds (Game 1 of 3)</t>
        </is>
      </c>
      <c r="B7" s="4" t="inlineStr">
        <is>
          <t>DET Moneyline</t>
        </is>
      </c>
      <c r="C7" s="5" t="n">
        <v>1.83</v>
      </c>
      <c r="D7" s="4" t="inlineStr">
        <is>
          <t>EUR 11.84</t>
        </is>
      </c>
      <c r="E7" s="4" t="inlineStr">
        <is>
          <t>BET</t>
        </is>
      </c>
      <c r="F7" s="4" t="inlineStr"/>
      <c r="G7" s="6">
        <f>IF(E7&lt;&gt;"BET",0,IF(F7="Win",(C7-1)*VALUE(SUBSTITUTE(D7,"EUR ","")),IF(F7="Loss",-VALUE(SUBSTITUTE(D7,"EUR ","")),IF(F7="Push",0,""))))</f>
        <v/>
      </c>
      <c r="H7" s="4" t="inlineStr">
        <is>
          <t>824529</t>
        </is>
      </c>
    </row>
    <row r="8" ht="15" customHeight="1">
      <c r="A8" s="4" t="inlineStr">
        <is>
          <t>Boston Red Sox vs Baltimore Orioles (Game 1 of 3)</t>
        </is>
      </c>
      <c r="B8" s="4" t="inlineStr">
        <is>
          <t>BOS Moneyline</t>
        </is>
      </c>
      <c r="C8" s="5" t="n">
        <v>2</v>
      </c>
      <c r="D8" s="4" t="inlineStr">
        <is>
          <t>EUR 5.92</t>
        </is>
      </c>
      <c r="E8" s="4" t="inlineStr">
        <is>
          <t>BET</t>
        </is>
      </c>
      <c r="F8" s="4" t="inlineStr"/>
      <c r="G8" s="6">
        <f>IF(E8&lt;&gt;"BET",0,IF(F8="Win",(C8-1)*VALUE(SUBSTITUTE(D8,"EUR ","")),IF(F8="Loss",-VALUE(SUBSTITUTE(D8,"EUR ","")),IF(F8="Push",0,""))))</f>
        <v/>
      </c>
      <c r="H8" s="4" t="inlineStr">
        <is>
          <t>824854</t>
        </is>
      </c>
    </row>
    <row r="9" ht="15" customHeight="1">
      <c r="A9" s="4" t="inlineStr">
        <is>
          <t>Cleveland Guardians vs Toronto Blue Jays (Game 1 of 3)</t>
        </is>
      </c>
      <c r="B9" s="4" t="inlineStr">
        <is>
          <t>CLE -2.5 (Run Line)</t>
        </is>
      </c>
      <c r="C9" s="5" t="n">
        <v>3.1</v>
      </c>
      <c r="D9" s="4" t="inlineStr">
        <is>
          <t>EUR 17.76</t>
        </is>
      </c>
      <c r="E9" s="4" t="inlineStr">
        <is>
          <t>BET</t>
        </is>
      </c>
      <c r="F9" s="4" t="inlineStr"/>
      <c r="G9" s="6">
        <f>IF(E9&lt;&gt;"BET",0,IF(F9="Win",(C9-1)*VALUE(SUBSTITUTE(D9,"EUR ","")),IF(F9="Loss",-VALUE(SUBSTITUTE(D9,"EUR ","")),IF(F9="Push",0,""))))</f>
        <v/>
      </c>
      <c r="H9" s="4" t="inlineStr">
        <is>
          <t>822827</t>
        </is>
      </c>
    </row>
    <row r="10" ht="15" customHeight="1">
      <c r="A10" s="4" t="inlineStr">
        <is>
          <t>Colorado Rockies vs New York Mets (Game 1 of 3)</t>
        </is>
      </c>
      <c r="B10" s="4" t="inlineStr">
        <is>
          <t>COL Moneyline</t>
        </is>
      </c>
      <c r="C10" s="5" t="n">
        <v>2.62</v>
      </c>
      <c r="D10" s="4" t="inlineStr">
        <is>
          <t>EUR 29.60</t>
        </is>
      </c>
      <c r="E10" s="4" t="inlineStr">
        <is>
          <t>BET</t>
        </is>
      </c>
      <c r="F10" s="4" t="inlineStr"/>
      <c r="G10" s="6">
        <f>IF(E10&lt;&gt;"BET",0,IF(F10="Win",(C10-1)*VALUE(SUBSTITUTE(D10,"EUR ","")),IF(F10="Loss",-VALUE(SUBSTITUTE(D10,"EUR ","")),IF(F10="Push",0,""))))</f>
        <v/>
      </c>
      <c r="H10" s="4" t="inlineStr">
        <is>
          <t>823638</t>
        </is>
      </c>
    </row>
    <row r="11" ht="15" customHeight="1">
      <c r="A11" s="4" t="inlineStr">
        <is>
          <t>Minnesota Twins vs Tampa Bay Rays (Game 1 of 3)</t>
        </is>
      </c>
      <c r="B11" s="4" t="inlineStr">
        <is>
          <t>MIN Moneyline</t>
        </is>
      </c>
      <c r="C11" s="5" t="n">
        <v>2.15</v>
      </c>
      <c r="D11" s="4" t="inlineStr">
        <is>
          <t>EUR 11.84</t>
        </is>
      </c>
      <c r="E11" s="4" t="inlineStr">
        <is>
          <t>BET</t>
        </is>
      </c>
      <c r="F11" s="4" t="inlineStr"/>
      <c r="G11" s="6">
        <f>IF(E11&lt;&gt;"BET",0,IF(F11="Win",(C11-1)*VALUE(SUBSTITUTE(D11,"EUR ","")),IF(F11="Loss",-VALUE(SUBSTITUTE(D11,"EUR ","")),IF(F11="Push",0,""))))</f>
        <v/>
      </c>
      <c r="H11" s="4" t="inlineStr">
        <is>
          <t>822992</t>
        </is>
      </c>
    </row>
    <row r="12" ht="15" customHeight="1">
      <c r="A12" s="7" t="inlineStr">
        <is>
          <t>Philadelphia Phillies vs Atlanta Braves (Game 1 of 3)</t>
        </is>
      </c>
      <c r="B12" s="7" t="inlineStr">
        <is>
          <t>SKIP - Missing odds data</t>
        </is>
      </c>
      <c r="C12" s="8" t="n"/>
      <c r="D12" s="7" t="inlineStr">
        <is>
          <t>EUR 0.00</t>
        </is>
      </c>
      <c r="E12" s="7" t="inlineStr">
        <is>
          <t>SKIP</t>
        </is>
      </c>
      <c r="F12" s="7" t="inlineStr"/>
      <c r="G12" s="9">
        <f>IF(E12&lt;&gt;"BET",0,IF(F12="Win",(C12-1)*VALUE(SUBSTITUTE(D12,"EUR ","")),IF(F12="Loss",-VALUE(SUBSTITUTE(D12,"EUR ","")),IF(F12="Push",0,""))))</f>
        <v/>
      </c>
      <c r="H12" s="7" t="inlineStr">
        <is>
          <t>824932</t>
        </is>
      </c>
    </row>
    <row r="13" ht="15" customHeight="1">
      <c r="A13" s="4" t="inlineStr">
        <is>
          <t>Los Angeles Angels vs Kansas City Royals (Game 1 of 3)</t>
        </is>
      </c>
      <c r="B13" s="4" t="inlineStr">
        <is>
          <t>KC -1.5 (Run Line)</t>
        </is>
      </c>
      <c r="C13" s="5" t="n">
        <v>2.82</v>
      </c>
      <c r="D13" s="4" t="inlineStr">
        <is>
          <t>EUR 5.92</t>
        </is>
      </c>
      <c r="E13" s="4" t="inlineStr">
        <is>
          <t>BET</t>
        </is>
      </c>
      <c r="F13" s="4" t="inlineStr"/>
      <c r="G13" s="6">
        <f>IF(E13&lt;&gt;"BET",0,IF(F13="Win",(C13-1)*VALUE(SUBSTITUTE(D13,"EUR ","")),IF(F13="Loss",-VALUE(SUBSTITUTE(D13,"EUR ","")),IF(F13="Push",0,""))))</f>
        <v/>
      </c>
      <c r="H13" s="4" t="inlineStr">
        <is>
          <t>824124</t>
        </is>
      </c>
    </row>
    <row r="14" ht="15" customHeight="1">
      <c r="A14" s="4" t="inlineStr">
        <is>
          <t>Washington Nationals vs Chicago White Sox (Game 1 of 3)</t>
        </is>
      </c>
      <c r="B14" s="4" t="inlineStr">
        <is>
          <t>WSH Moneyline</t>
        </is>
      </c>
      <c r="C14" s="5" t="n">
        <v>2.05</v>
      </c>
      <c r="D14" s="4" t="inlineStr">
        <is>
          <t>EUR 23.68</t>
        </is>
      </c>
      <c r="E14" s="4" t="inlineStr">
        <is>
          <t>BET</t>
        </is>
      </c>
      <c r="F14" s="4" t="inlineStr"/>
      <c r="G14" s="6">
        <f>IF(E14&lt;&gt;"BET",0,IF(F14="Win",(C14-1)*VALUE(SUBSTITUTE(D14,"EUR ","")),IF(F14="Loss",-VALUE(SUBSTITUTE(D14,"EUR ","")),IF(F14="Push",0,""))))</f>
        <v/>
      </c>
      <c r="H14" s="4" t="inlineStr">
        <is>
          <t>824611</t>
        </is>
      </c>
    </row>
    <row r="15" ht="15" customHeight="1">
      <c r="A15" s="4" t="inlineStr">
        <is>
          <t>Pittsburgh Pirates vs Milwaukee Brewers (Game 1 of 3)</t>
        </is>
      </c>
      <c r="B15" s="4" t="inlineStr">
        <is>
          <t>PIT Moneyline</t>
        </is>
      </c>
      <c r="C15" s="5" t="n">
        <v>1.8</v>
      </c>
      <c r="D15" s="4" t="inlineStr">
        <is>
          <t>EUR 11.84</t>
        </is>
      </c>
      <c r="E15" s="4" t="inlineStr">
        <is>
          <t>BET</t>
        </is>
      </c>
      <c r="F15" s="4" t="inlineStr"/>
      <c r="G15" s="6">
        <f>IF(E15&lt;&gt;"BET",0,IF(F15="Win",(C15-1)*VALUE(SUBSTITUTE(D15,"EUR ","")),IF(F15="Loss",-VALUE(SUBSTITUTE(D15,"EUR ","")),IF(F15="Push",0,""))))</f>
        <v/>
      </c>
      <c r="H15" s="4" t="inlineStr">
        <is>
          <t>823800</t>
        </is>
      </c>
    </row>
    <row r="16" ht="15" customHeight="1">
      <c r="A16" s="4" t="inlineStr">
        <is>
          <t>Athletics vs Texas Rangers (Game 1 of 3)</t>
        </is>
      </c>
      <c r="B16" s="4" t="inlineStr">
        <is>
          <t>ATH +1 (Run Line)</t>
        </is>
      </c>
      <c r="C16" s="5" t="n">
        <v>1.85</v>
      </c>
      <c r="D16" s="4" t="inlineStr">
        <is>
          <t>EUR 17.76</t>
        </is>
      </c>
      <c r="E16" s="4" t="inlineStr">
        <is>
          <t>BET</t>
        </is>
      </c>
      <c r="F16" s="4" t="inlineStr"/>
      <c r="G16" s="6">
        <f>IF(E16&lt;&gt;"BET",0,IF(F16="Win",(C16-1)*VALUE(SUBSTITUTE(D16,"EUR ","")),IF(F16="Loss",-VALUE(SUBSTITUTE(D16,"EUR ","")),IF(F16="Push",0,""))))</f>
        <v/>
      </c>
      <c r="H16" s="4" t="inlineStr">
        <is>
          <t>822909</t>
        </is>
      </c>
    </row>
    <row r="17" ht="15" customHeight="1">
      <c r="A17" s="4" t="inlineStr">
        <is>
          <t>New York Yankees vs Houston Astros (Game 1 of 3)</t>
        </is>
      </c>
      <c r="B17" s="4" t="inlineStr">
        <is>
          <t>NYY Moneyline</t>
        </is>
      </c>
      <c r="C17" s="5" t="n">
        <v>1.65</v>
      </c>
      <c r="D17" s="4" t="inlineStr">
        <is>
          <t>EUR 23.68</t>
        </is>
      </c>
      <c r="E17" s="4" t="inlineStr">
        <is>
          <t>BET</t>
        </is>
      </c>
      <c r="F17" s="4" t="inlineStr"/>
      <c r="G17" s="6">
        <f>IF(E17&lt;&gt;"BET",0,IF(F17="Win",(C17-1)*VALUE(SUBSTITUTE(D17,"EUR ","")),IF(F17="Loss",-VALUE(SUBSTITUTE(D17,"EUR ","")),IF(F17="Push",0,""))))</f>
        <v/>
      </c>
      <c r="H17" s="4" t="inlineStr">
        <is>
          <t>824204</t>
        </is>
      </c>
    </row>
    <row r="18" ht="15" customHeight="1">
      <c r="A18" s="4" t="inlineStr">
        <is>
          <t>Seattle Mariners vs St. Louis Cardinals (Game 1 of 3)</t>
        </is>
      </c>
      <c r="B18" s="4" t="inlineStr">
        <is>
          <t>SEA Moneyline</t>
        </is>
      </c>
      <c r="C18" s="5" t="n">
        <v>1.67</v>
      </c>
      <c r="D18" s="4" t="inlineStr">
        <is>
          <t>EUR 2.96</t>
        </is>
      </c>
      <c r="E18" s="4" t="inlineStr">
        <is>
          <t>BET</t>
        </is>
      </c>
      <c r="F18" s="4" t="inlineStr"/>
      <c r="G18" s="6">
        <f>IF(E18&lt;&gt;"BET",0,IF(F18="Win",(C18-1)*VALUE(SUBSTITUTE(D18,"EUR ","")),IF(F18="Loss",-VALUE(SUBSTITUTE(D18,"EUR ","")),IF(F18="Push",0,""))))</f>
        <v/>
      </c>
      <c r="H18" s="4" t="inlineStr">
        <is>
          <t>823069</t>
        </is>
      </c>
    </row>
    <row r="19" ht="15" customHeight="1">
      <c r="A19" s="4" t="inlineStr">
        <is>
          <t>Chicago Cubs vs Los Angeles Dodgers (Game 1 of 3)</t>
        </is>
      </c>
      <c r="B19" s="4" t="inlineStr">
        <is>
          <t>CHC Moneyline</t>
        </is>
      </c>
      <c r="C19" s="5" t="n">
        <v>2.38</v>
      </c>
      <c r="D19" s="4" t="inlineStr">
        <is>
          <t>EUR 11.84</t>
        </is>
      </c>
      <c r="E19" s="4" t="inlineStr">
        <is>
          <t>BET</t>
        </is>
      </c>
      <c r="F19" s="4" t="inlineStr"/>
      <c r="G19" s="6">
        <f>IF(E19&lt;&gt;"BET",0,IF(F19="Win",(C19-1)*VALUE(SUBSTITUTE(D19,"EUR ","")),IF(F19="Loss",-VALUE(SUBSTITUTE(D19,"EUR ","")),IF(F19="Push",0,""))))</f>
        <v/>
      </c>
      <c r="H19" s="4" t="inlineStr">
        <is>
          <t>823962</t>
        </is>
      </c>
    </row>
    <row r="20" ht="15" customHeight="1">
      <c r="A20" s="7" t="inlineStr">
        <is>
          <t>Miami Marlins vs San Francisco Giants (Game 1 of 3)</t>
        </is>
      </c>
      <c r="B20" s="7" t="inlineStr">
        <is>
          <t>SKIP - No clear edge</t>
        </is>
      </c>
      <c r="C20" s="8" t="n">
        <v>1.91</v>
      </c>
      <c r="D20" s="7" t="inlineStr">
        <is>
          <t>EUR 0.00</t>
        </is>
      </c>
      <c r="E20" s="7" t="inlineStr">
        <is>
          <t>SKIP</t>
        </is>
      </c>
      <c r="F20" s="7" t="inlineStr"/>
      <c r="G20" s="9">
        <f>IF(E20&lt;&gt;"BET",0,IF(F20="Win",(C20-1)*VALUE(SUBSTITUTE(D20,"EUR ","")),IF(F20="Loss",-VALUE(SUBSTITUTE(D20,"EUR ","")),IF(F20="Push",0,""))))</f>
        <v/>
      </c>
      <c r="H20" s="7" t="inlineStr">
        <is>
          <t>823232</t>
        </is>
      </c>
    </row>
    <row r="22" ht="15" customHeight="1">
      <c r="A22" s="10" t="inlineStr">
        <is>
          <t>Total Bet Count:</t>
        </is>
      </c>
      <c r="B22" s="11">
        <f>COUNTIF($E$7:$E$20,"BET")</f>
        <v/>
      </c>
    </row>
    <row r="23" ht="15" customHeight="1">
      <c r="A23" s="10" t="inlineStr">
        <is>
          <t>Total Staked:</t>
        </is>
      </c>
      <c r="B23" s="12">
        <f>SUMPRODUCT(--($E$7:$E$20="BET"),VALUE(SUBSTITUTE($D$7:$D$20,"EUR ","")))</f>
        <v/>
      </c>
    </row>
    <row r="24" ht="15" customHeight="1">
      <c r="A24" s="10" t="inlineStr">
        <is>
          <t>Total Profit:</t>
        </is>
      </c>
      <c r="B24" s="12">
        <f>SUM(G7:G20)</f>
        <v/>
      </c>
    </row>
    <row r="25" ht="15" customHeight="1">
      <c r="A25" s="10" t="inlineStr">
        <is>
          <t>Net Bankroll:</t>
        </is>
      </c>
      <c r="B25" s="12">
        <f>591.97+B24</f>
        <v/>
      </c>
    </row>
  </sheetData>
  <autoFilter ref="A6:H20"/>
  <mergeCells count="1">
    <mergeCell ref="A1:H1"/>
  </mergeCells>
  <conditionalFormatting sqref="B24:B25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0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2026-04-24T21:41:41Z</dcterms:created>
  <dcterms:modified xsi:type="dcterms:W3CDTF">2026-04-24T21:41:41Z</dcterms:modified>
</cp:coreProperties>
</file>