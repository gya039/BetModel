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EAF8F1"/>
      </patternFill>
    </fill>
    <fill>
      <patternFill patternType="solid">
        <fgColor rgb="00FFF1E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20th 2026 Predictions Tracker</t>
        </is>
      </c>
    </row>
    <row r="2" ht="15" customHeight="1">
      <c r="A2" s="2" t="inlineStr">
        <is>
          <t>Bankroll: EUR 642.48</t>
        </is>
      </c>
    </row>
    <row r="3" ht="15" customHeight="1">
      <c r="A3" s="2" t="inlineStr">
        <is>
          <t>Generated for: 2026-04-20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13" t="inlineStr">
        <is>
          <t>Detroit Tigers vs Boston Red Sox (Game 4 of 4)</t>
        </is>
      </c>
      <c r="B7" s="13" t="inlineStr">
        <is>
          <t>BOS Moneyline</t>
        </is>
      </c>
      <c r="C7" s="14" t="n">
        <v>1.73</v>
      </c>
      <c r="D7" s="13" t="inlineStr">
        <is>
          <t>EUR 6.00</t>
        </is>
      </c>
      <c r="E7" s="13" t="inlineStr">
        <is>
          <t>BET</t>
        </is>
      </c>
      <c r="F7" s="13" t="inlineStr">
        <is>
          <t>Win</t>
        </is>
      </c>
      <c r="G7" s="15">
        <f>IF(E7&lt;&gt;"BET",0,IF(F7="Win",(C7-1)*VALUE(SUBSTITUTE(D7,"EUR ","")),IF(F7="Loss",-VALUE(SUBSTITUTE(D7,"EUR ","")),IF(F7="Push",0,""))))</f>
        <v/>
      </c>
    </row>
    <row r="8" ht="15" customHeight="1">
      <c r="A8" s="13" t="inlineStr">
        <is>
          <t>Houston Astros vs Cleveland Guardians (Game 1 of 3)</t>
        </is>
      </c>
      <c r="B8" s="13" t="inlineStr">
        <is>
          <t>HOU Moneyline</t>
        </is>
      </c>
      <c r="C8" s="14" t="n">
        <v>1.9</v>
      </c>
      <c r="D8" s="13" t="inlineStr">
        <is>
          <t>EUR 13.00</t>
        </is>
      </c>
      <c r="E8" s="13" t="inlineStr">
        <is>
          <t>BET</t>
        </is>
      </c>
      <c r="F8" s="13" t="inlineStr">
        <is>
          <t>Win</t>
        </is>
      </c>
      <c r="G8" s="15">
        <f>IF(E8&lt;&gt;"BET",0,IF(F8="Win",(C8-1)*VALUE(SUBSTITUTE(D8,"EUR ","")),IF(F8="Loss",-VALUE(SUBSTITUTE(D8,"EUR ","")),IF(F8="Push",0,""))))</f>
        <v/>
      </c>
    </row>
    <row r="9" ht="15" customHeight="1">
      <c r="A9" s="7" t="inlineStr">
        <is>
          <t>Cincinnati Reds vs Tampa Bay Rays (Game 1 of 3)</t>
        </is>
      </c>
      <c r="B9" s="7" t="inlineStr">
        <is>
          <t>SKIP - No clear edge</t>
        </is>
      </c>
      <c r="C9" s="8" t="n"/>
      <c r="D9" s="7" t="inlineStr">
        <is>
          <t>EUR 0.00</t>
        </is>
      </c>
      <c r="E9" s="7" t="inlineStr">
        <is>
          <t>SKIP</t>
        </is>
      </c>
      <c r="F9" s="7" t="inlineStr"/>
      <c r="G9" s="9">
        <f>IF(E9&lt;&gt;"BET",0,IF(F9="Win",(C9-1)*VALUE(SUBSTITUTE(D9,"EUR ","")),IF(F9="Loss",-VALUE(SUBSTITUTE(D9,"EUR ","")),IF(F9="Push",0,""))))</f>
        <v/>
      </c>
    </row>
    <row r="10" ht="15" customHeight="1">
      <c r="A10" s="16" t="inlineStr">
        <is>
          <t>St. Louis Cardinals vs Miami Marlins (Game 1 of 3)</t>
        </is>
      </c>
      <c r="B10" s="16" t="inlineStr">
        <is>
          <t>STL Moneyline</t>
        </is>
      </c>
      <c r="C10" s="17" t="n">
        <v>2.05</v>
      </c>
      <c r="D10" s="16" t="inlineStr">
        <is>
          <t>EUR 13.00</t>
        </is>
      </c>
      <c r="E10" s="16" t="inlineStr">
        <is>
          <t>BET</t>
        </is>
      </c>
      <c r="F10" s="16" t="inlineStr">
        <is>
          <t>Loss</t>
        </is>
      </c>
      <c r="G10" s="18">
        <f>IF(E10&lt;&gt;"BET",0,IF(F10="Win",(C10-1)*VALUE(SUBSTITUTE(D10,"EUR ","")),IF(F10="Loss",-VALUE(SUBSTITUTE(D10,"EUR ","")),IF(F10="Push",0,""))))</f>
        <v/>
      </c>
    </row>
    <row r="11" ht="15" customHeight="1">
      <c r="A11" s="7" t="inlineStr">
        <is>
          <t>Atlanta Braves vs Washington Nationals (Game 1 of 4)</t>
        </is>
      </c>
      <c r="B11" s="7" t="inlineStr">
        <is>
          <t>SKIP - Missing odds data</t>
        </is>
      </c>
      <c r="C11" s="8" t="n"/>
      <c r="D11" s="7" t="inlineStr">
        <is>
          <t>EUR 0.00</t>
        </is>
      </c>
      <c r="E11" s="7" t="inlineStr">
        <is>
          <t>SKIP</t>
        </is>
      </c>
      <c r="F11" s="7" t="inlineStr"/>
      <c r="G11" s="9">
        <f>IF(E11&lt;&gt;"BET",0,IF(F11="Win",(C11-1)*VALUE(SUBSTITUTE(D11,"EUR ","")),IF(F11="Loss",-VALUE(SUBSTITUTE(D11,"EUR ","")),IF(F11="Push",0,""))))</f>
        <v/>
      </c>
    </row>
    <row r="12" ht="15" customHeight="1">
      <c r="A12" s="16" t="inlineStr">
        <is>
          <t>Baltimore Orioles vs Kansas City Royals (Game 1 of 3)</t>
        </is>
      </c>
      <c r="B12" s="16" t="inlineStr">
        <is>
          <t>KC Moneyline</t>
        </is>
      </c>
      <c r="C12" s="17" t="n">
        <v>1.9</v>
      </c>
      <c r="D12" s="16" t="inlineStr">
        <is>
          <t>EUR 32.00</t>
        </is>
      </c>
      <c r="E12" s="16" t="inlineStr">
        <is>
          <t>BET</t>
        </is>
      </c>
      <c r="F12" s="16" t="inlineStr">
        <is>
          <t>Loss</t>
        </is>
      </c>
      <c r="G12" s="18">
        <f>IF(E12&lt;&gt;"BET",0,IF(F12="Win",(C12-1)*VALUE(SUBSTITUTE(D12,"EUR ","")),IF(F12="Loss",-VALUE(SUBSTITUTE(D12,"EUR ","")),IF(F12="Push",0,""))))</f>
        <v/>
      </c>
    </row>
    <row r="13" ht="15" customHeight="1">
      <c r="A13" s="13" t="inlineStr">
        <is>
          <t>Philadelphia Phillies vs Chicago Cubs (Game 1 of 4)</t>
        </is>
      </c>
      <c r="B13" s="13" t="inlineStr">
        <is>
          <t>CHC Moneyline</t>
        </is>
      </c>
      <c r="C13" s="14" t="n">
        <v>1.9</v>
      </c>
      <c r="D13" s="13" t="inlineStr">
        <is>
          <t>EUR 6.00</t>
        </is>
      </c>
      <c r="E13" s="13" t="inlineStr">
        <is>
          <t>BET</t>
        </is>
      </c>
      <c r="F13" s="13" t="inlineStr">
        <is>
          <t>Win</t>
        </is>
      </c>
      <c r="G13" s="15">
        <f>IF(E13&lt;&gt;"BET",0,IF(F13="Win",(C13-1)*VALUE(SUBSTITUTE(D13,"EUR ","")),IF(F13="Loss",-VALUE(SUBSTITUTE(D13,"EUR ","")),IF(F13="Push",0,""))))</f>
        <v/>
      </c>
    </row>
    <row r="14" ht="15" customHeight="1">
      <c r="A14" s="7" t="inlineStr">
        <is>
          <t>Los Angeles Dodgers vs Colorado Rockies (Game 4 of 4)</t>
        </is>
      </c>
      <c r="B14" s="7" t="inlineStr">
        <is>
          <t>SKIP - No clear edge</t>
        </is>
      </c>
      <c r="C14" s="8" t="n">
        <v>1.36</v>
      </c>
      <c r="D14" s="7" t="inlineStr">
        <is>
          <t>EUR 0.00</t>
        </is>
      </c>
      <c r="E14" s="7" t="inlineStr">
        <is>
          <t>SKIP</t>
        </is>
      </c>
      <c r="F14" s="7" t="inlineStr"/>
      <c r="G14" s="9">
        <f>IF(E14&lt;&gt;"BET",0,IF(F14="Win",(C14-1)*VALUE(SUBSTITUTE(D14,"EUR ","")),IF(F14="Loss",-VALUE(SUBSTITUTE(D14,"EUR ","")),IF(F14="Push",0,""))))</f>
        <v/>
      </c>
    </row>
    <row r="15" ht="15" customHeight="1">
      <c r="A15" s="7" t="inlineStr">
        <is>
          <t>Toronto Blue Jays vs Los Angeles Angels (Game 1 of 3)</t>
        </is>
      </c>
      <c r="B15" s="7" t="inlineStr">
        <is>
          <t>SKIP - No clear edge</t>
        </is>
      </c>
      <c r="C15" s="8" t="n"/>
      <c r="D15" s="7" t="inlineStr">
        <is>
          <t>EUR 0.00</t>
        </is>
      </c>
      <c r="E15" s="7" t="inlineStr">
        <is>
          <t>SKIP</t>
        </is>
      </c>
      <c r="F15" s="7" t="inlineStr"/>
      <c r="G15" s="9">
        <f>IF(E15&lt;&gt;"BET",0,IF(F15="Win",(C15-1)*VALUE(SUBSTITUTE(D15,"EUR ","")),IF(F15="Loss",-VALUE(SUBSTITUTE(D15,"EUR ","")),IF(F15="Push",0,""))))</f>
        <v/>
      </c>
    </row>
    <row r="16" ht="15" customHeight="1">
      <c r="A16" s="7" t="inlineStr">
        <is>
          <t>Athletics vs Seattle Mariners (Game 1 of 3)</t>
        </is>
      </c>
      <c r="B16" s="7" t="inlineStr">
        <is>
          <t>SKIP - No clear edge</t>
        </is>
      </c>
      <c r="C16" s="8" t="n">
        <v>1.6</v>
      </c>
      <c r="D16" s="7" t="inlineStr">
        <is>
          <t>EUR 0.00</t>
        </is>
      </c>
      <c r="E16" s="7" t="inlineStr">
        <is>
          <t>SKIP</t>
        </is>
      </c>
      <c r="F16" s="7" t="inlineStr"/>
      <c r="G16" s="9">
        <f>IF(E16&lt;&gt;"BET",0,IF(F16="Win",(C16-1)*VALUE(SUBSTITUTE(D16,"EUR ","")),IF(F16="Loss",-VALUE(SUBSTITUTE(D16,"EUR ","")),IF(F16="Push",0,""))))</f>
        <v/>
      </c>
    </row>
    <row r="17"/>
    <row r="18" ht="15" customHeight="1">
      <c r="A18" s="10" t="inlineStr">
        <is>
          <t>Total Bet Count:</t>
        </is>
      </c>
      <c r="B18" s="11">
        <f>COUNTIF($E$7:$E$16,"BET")</f>
        <v/>
      </c>
    </row>
    <row r="19" ht="15" customHeight="1">
      <c r="A19" s="10" t="inlineStr">
        <is>
          <t>Total Staked:</t>
        </is>
      </c>
      <c r="B19" s="12">
        <f>SUMPRODUCT(--($E$7:$E$16="BET"),VALUE(SUBSTITUTE($D$7:$D$16,"EUR ","")))</f>
        <v/>
      </c>
    </row>
    <row r="20" ht="15" customHeight="1">
      <c r="A20" s="10" t="inlineStr">
        <is>
          <t>Total Profit:</t>
        </is>
      </c>
      <c r="B20" s="12">
        <f>SUM(G7:G16)</f>
        <v/>
      </c>
    </row>
    <row r="21" ht="15" customHeight="1">
      <c r="A21" s="10" t="inlineStr">
        <is>
          <t>Net Bankroll:</t>
        </is>
      </c>
      <c r="B21" s="12">
        <f>642.48+B20</f>
        <v/>
      </c>
    </row>
  </sheetData>
  <autoFilter ref="A6:G16"/>
  <mergeCells count="1">
    <mergeCell ref="A1:H1"/>
  </mergeCells>
  <conditionalFormatting sqref="B20:B21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16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2026-04-20T00:04:07Z</dcterms:created>
  <dcterms:modified xsi:type="dcterms:W3CDTF">2026-04-21T20:58:08Z</dcterms:modified>
</cp:coreProperties>
</file>