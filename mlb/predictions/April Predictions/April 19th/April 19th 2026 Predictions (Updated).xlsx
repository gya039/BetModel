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edictions" sheetId="1" state="visible" r:id="rId1"/>
  </sheets>
  <definedNames>
    <definedName name="_xlnm._FilterDatabase" localSheetId="0" hidden="1">'Predictions'!$A$6:$G$21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&quot;EUR&quot; 0.00"/>
  </numFmts>
  <fonts count="4">
    <font>
      <name val="Calibri"/>
      <family val="2"/>
      <color theme="1"/>
      <sz val="11"/>
      <scheme val="minor"/>
    </font>
    <font>
      <b val="1"/>
      <color rgb="00FFFFFF"/>
      <sz val="14"/>
    </font>
    <font>
      <b val="1"/>
    </font>
    <font>
      <b val="1"/>
      <color rgb="00FFFFFF"/>
    </font>
  </fonts>
  <fills count="9">
    <fill>
      <patternFill/>
    </fill>
    <fill>
      <patternFill patternType="gray125"/>
    </fill>
    <fill>
      <patternFill patternType="solid">
        <fgColor rgb="00183153"/>
      </patternFill>
    </fill>
    <fill>
      <patternFill patternType="solid">
        <fgColor rgb="00E7F0FF"/>
      </patternFill>
    </fill>
    <fill>
      <patternFill patternType="solid">
        <fgColor rgb="00244063"/>
      </patternFill>
    </fill>
    <fill>
      <patternFill patternType="solid">
        <fgColor rgb="00FFF1EC"/>
      </patternFill>
    </fill>
    <fill>
      <patternFill patternType="solid">
        <fgColor rgb="00EAF8F1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2">
    <border>
      <left/>
      <right/>
      <top/>
      <bottom/>
      <diagonal/>
    </border>
    <border>
      <left style="thin">
        <color rgb="00D0D7E2"/>
      </left>
      <right style="thin">
        <color rgb="00D0D7E2"/>
      </right>
      <top style="thin">
        <color rgb="00D0D7E2"/>
      </top>
      <bottom style="thin">
        <color rgb="00D0D7E2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3" borderId="0" applyAlignment="1" pivotButton="0" quotePrefix="0" xfId="0">
      <alignment horizontal="left" vertical="center"/>
    </xf>
    <xf numFmtId="0" fontId="3" fillId="4" borderId="1" applyAlignment="1" pivotButton="0" quotePrefix="0" xfId="0">
      <alignment horizontal="center" vertical="center"/>
    </xf>
    <xf numFmtId="0" fontId="0" fillId="5" borderId="1" applyAlignment="1" pivotButton="0" quotePrefix="0" xfId="0">
      <alignment vertical="top" wrapText="1"/>
    </xf>
    <xf numFmtId="2" fontId="0" fillId="5" borderId="1" applyAlignment="1" pivotButton="0" quotePrefix="0" xfId="0">
      <alignment vertical="top" wrapText="1"/>
    </xf>
    <xf numFmtId="164" fontId="0" fillId="5" borderId="1" applyAlignment="1" pivotButton="0" quotePrefix="0" xfId="0">
      <alignment vertical="top" wrapText="1"/>
    </xf>
    <xf numFmtId="0" fontId="0" fillId="6" borderId="1" applyAlignment="1" pivotButton="0" quotePrefix="0" xfId="0">
      <alignment vertical="top" wrapText="1"/>
    </xf>
    <xf numFmtId="2" fontId="0" fillId="6" borderId="1" applyAlignment="1" pivotButton="0" quotePrefix="0" xfId="0">
      <alignment vertical="top" wrapText="1"/>
    </xf>
    <xf numFmtId="164" fontId="0" fillId="6" borderId="1" applyAlignment="1" pivotButton="0" quotePrefix="0" xfId="0">
      <alignment vertical="top" wrapText="1"/>
    </xf>
    <xf numFmtId="0" fontId="2" fillId="3" borderId="1" pivotButton="0" quotePrefix="0" xfId="0"/>
    <xf numFmtId="1" fontId="2" fillId="3" borderId="1" pivotButton="0" quotePrefix="0" xfId="0"/>
    <xf numFmtId="164" fontId="2" fillId="3" borderId="1" pivotButton="0" quotePrefix="0" xfId="0"/>
    <xf numFmtId="0" fontId="0" fillId="7" borderId="1" applyAlignment="1" pivotButton="0" quotePrefix="0" xfId="0">
      <alignment vertical="top" wrapText="1"/>
    </xf>
    <xf numFmtId="2" fontId="0" fillId="7" borderId="1" applyAlignment="1" pivotButton="0" quotePrefix="0" xfId="0">
      <alignment vertical="top" wrapText="1"/>
    </xf>
    <xf numFmtId="164" fontId="0" fillId="7" borderId="1" applyAlignment="1" pivotButton="0" quotePrefix="0" xfId="0">
      <alignment vertical="top" wrapText="1"/>
    </xf>
    <xf numFmtId="0" fontId="0" fillId="8" borderId="1" applyAlignment="1" pivotButton="0" quotePrefix="0" xfId="0">
      <alignment vertical="top" wrapText="1"/>
    </xf>
    <xf numFmtId="2" fontId="0" fillId="8" borderId="1" applyAlignment="1" pivotButton="0" quotePrefix="0" xfId="0">
      <alignment vertical="top" wrapText="1"/>
    </xf>
    <xf numFmtId="164" fontId="0" fillId="8" borderId="1" applyAlignment="1" pivotButton="0" quotePrefix="0" xfId="0">
      <alignment vertical="top" wrapText="1"/>
    </xf>
  </cellXfs>
  <cellStyles count="1">
    <cellStyle name="Normal" xfId="0" builtinId="0" hidden="0"/>
  </cellStyles>
  <dxfs count="2">
    <dxf>
      <fill>
        <patternFill patternType="solid">
          <fgColor rgb="00D8F0DD"/>
        </patternFill>
      </fill>
    </dxf>
    <dxf>
      <fill>
        <patternFill patternType="solid">
          <fgColor rgb="00F8D7DA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6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42" customWidth="1" min="1" max="1"/>
    <col width="24" customWidth="1" min="2" max="2"/>
    <col width="10" customWidth="1" min="3" max="3"/>
    <col width="12" customWidth="1" min="4" max="4"/>
    <col width="12" customWidth="1" min="5" max="5"/>
    <col width="12" customWidth="1" min="6" max="6"/>
    <col width="14" customWidth="1" min="7" max="7"/>
  </cols>
  <sheetData>
    <row r="1" ht="15" customHeight="1">
      <c r="A1" s="1" t="inlineStr">
        <is>
          <t>April 19th 2026 Predictions Tracker</t>
        </is>
      </c>
    </row>
    <row r="2" ht="15" customHeight="1">
      <c r="A2" s="2" t="inlineStr">
        <is>
          <t>Bankroll: EUR 592.90</t>
        </is>
      </c>
    </row>
    <row r="3" ht="15" customHeight="1">
      <c r="A3" s="2" t="inlineStr">
        <is>
          <t>Generated for: 2026-04-19</t>
        </is>
      </c>
    </row>
    <row r="4" ht="15" customHeight="1">
      <c r="A4" s="2" t="inlineStr">
        <is>
          <t>Select Win / Loss / Push in the Result column and totals update automatically.</t>
        </is>
      </c>
    </row>
    <row r="5" ht="15" customHeight="1"/>
    <row r="6" ht="15" customHeight="1">
      <c r="A6" s="3" t="inlineStr">
        <is>
          <t>Game</t>
        </is>
      </c>
      <c r="B6" s="3" t="inlineStr">
        <is>
          <t>Pick</t>
        </is>
      </c>
      <c r="C6" s="3" t="inlineStr">
        <is>
          <t>Odds</t>
        </is>
      </c>
      <c r="D6" s="3" t="inlineStr">
        <is>
          <t>Stake</t>
        </is>
      </c>
      <c r="E6" s="3" t="inlineStr">
        <is>
          <t>Decision</t>
        </is>
      </c>
      <c r="F6" s="3" t="inlineStr">
        <is>
          <t>Result</t>
        </is>
      </c>
      <c r="G6" s="3" t="inlineStr">
        <is>
          <t>Profit/Loss</t>
        </is>
      </c>
    </row>
    <row r="7" ht="15" customHeight="1">
      <c r="A7" s="4" t="inlineStr">
        <is>
          <t>San Francisco Giants vs Washington Nationals (Game 3 of 3)</t>
        </is>
      </c>
      <c r="B7" s="4" t="inlineStr">
        <is>
          <t>SKIP - No clear edge</t>
        </is>
      </c>
      <c r="C7" s="5" t="n">
        <v>1.67</v>
      </c>
      <c r="D7" s="4" t="inlineStr">
        <is>
          <t>EUR 0.00</t>
        </is>
      </c>
      <c r="E7" s="4" t="inlineStr">
        <is>
          <t>SKIP</t>
        </is>
      </c>
      <c r="F7" s="4" t="inlineStr"/>
      <c r="G7" s="6">
        <f>IF(E7&lt;&gt;"BET",0,IF(F7="Win",(C7-1)*VALUE(SUBSTITUTE(D7,"EUR ","")),IF(F7="Loss",-VALUE(SUBSTITUTE(D7,"EUR ","")),IF(F7="Push",0,""))))</f>
        <v/>
      </c>
    </row>
    <row r="8" ht="15" customHeight="1">
      <c r="A8" s="13" t="inlineStr">
        <is>
          <t>Tampa Bay Rays vs Pittsburgh Pirates (Game 3 of 3)</t>
        </is>
      </c>
      <c r="B8" s="13" t="inlineStr">
        <is>
          <t>PIT Moneyline</t>
        </is>
      </c>
      <c r="C8" s="14" t="n">
        <v>1.87</v>
      </c>
      <c r="D8" s="13" t="inlineStr">
        <is>
          <t>EUR 5.93</t>
        </is>
      </c>
      <c r="E8" s="13" t="inlineStr">
        <is>
          <t>BET</t>
        </is>
      </c>
      <c r="F8" s="13" t="inlineStr">
        <is>
          <t>Win</t>
        </is>
      </c>
      <c r="G8" s="15">
        <f>IF(E8&lt;&gt;"BET",0,IF(F8="Win",(C8-1)*VALUE(SUBSTITUTE(D8,"EUR ","")),IF(F8="Loss",-VALUE(SUBSTITUTE(D8,"EUR ","")),IF(F8="Push",0,""))))</f>
        <v/>
      </c>
    </row>
    <row r="9" ht="15" customHeight="1">
      <c r="A9" s="16" t="inlineStr">
        <is>
          <t>Kansas City Royals vs New York Yankees (Game 3 of 3)</t>
        </is>
      </c>
      <c r="B9" s="16" t="inlineStr">
        <is>
          <t>KC Moneyline</t>
        </is>
      </c>
      <c r="C9" s="17" t="n">
        <v>2.25</v>
      </c>
      <c r="D9" s="16" t="inlineStr">
        <is>
          <t>EUR 5.93</t>
        </is>
      </c>
      <c r="E9" s="16" t="inlineStr">
        <is>
          <t>BET</t>
        </is>
      </c>
      <c r="F9" s="16" t="inlineStr">
        <is>
          <t>Loss</t>
        </is>
      </c>
      <c r="G9" s="18">
        <f>IF(E9&lt;&gt;"BET",0,IF(F9="Win",(C9-1)*VALUE(SUBSTITUTE(D9,"EUR ","")),IF(F9="Loss",-VALUE(SUBSTITUTE(D9,"EUR ","")),IF(F9="Push",0,""))))</f>
        <v/>
      </c>
    </row>
    <row r="10" ht="15" customHeight="1">
      <c r="A10" s="4" t="inlineStr">
        <is>
          <t>Baltimore Orioles vs Cleveland Guardians (Game 4 of 4)</t>
        </is>
      </c>
      <c r="B10" s="4" t="inlineStr">
        <is>
          <t>SKIP - No clear edge</t>
        </is>
      </c>
      <c r="C10" s="5" t="n"/>
      <c r="D10" s="4" t="inlineStr">
        <is>
          <t>EUR 0.00</t>
        </is>
      </c>
      <c r="E10" s="4" t="inlineStr">
        <is>
          <t>SKIP</t>
        </is>
      </c>
      <c r="F10" s="4" t="inlineStr"/>
      <c r="G10" s="6">
        <f>IF(E10&lt;&gt;"BET",0,IF(F10="Win",(C10-1)*VALUE(SUBSTITUTE(D10,"EUR ","")),IF(F10="Loss",-VALUE(SUBSTITUTE(D10,"EUR ","")),IF(F10="Push",0,""))))</f>
        <v/>
      </c>
    </row>
    <row r="11" ht="15" customHeight="1">
      <c r="A11" s="16" t="inlineStr">
        <is>
          <t>Milwaukee Brewers vs Miami Marlins (Game 3 of 3)</t>
        </is>
      </c>
      <c r="B11" s="16" t="inlineStr">
        <is>
          <t>MIL Moneyline</t>
        </is>
      </c>
      <c r="C11" s="17" t="n">
        <v>1.95</v>
      </c>
      <c r="D11" s="16" t="inlineStr">
        <is>
          <t>EUR 5.93</t>
        </is>
      </c>
      <c r="E11" s="16" t="inlineStr">
        <is>
          <t>BET</t>
        </is>
      </c>
      <c r="F11" s="16" t="inlineStr">
        <is>
          <t>Loss</t>
        </is>
      </c>
      <c r="G11" s="18">
        <f>IF(E11&lt;&gt;"BET",0,IF(F11="Win",(C11-1)*VALUE(SUBSTITUTE(D11,"EUR ","")),IF(F11="Loss",-VALUE(SUBSTITUTE(D11,"EUR ","")),IF(F11="Push",0,""))))</f>
        <v/>
      </c>
    </row>
    <row r="12" ht="15" customHeight="1">
      <c r="A12" s="13" t="inlineStr">
        <is>
          <t>St. Louis Cardinals vs Houston Astros (Game 3 of 3)</t>
        </is>
      </c>
      <c r="B12" s="13" t="inlineStr">
        <is>
          <t>STL Moneyline</t>
        </is>
      </c>
      <c r="C12" s="14" t="n">
        <v>2.2</v>
      </c>
      <c r="D12" s="13" t="inlineStr">
        <is>
          <t>EUR 23.72</t>
        </is>
      </c>
      <c r="E12" s="13" t="inlineStr">
        <is>
          <t>BET</t>
        </is>
      </c>
      <c r="F12" s="13" t="inlineStr">
        <is>
          <t>Win</t>
        </is>
      </c>
      <c r="G12" s="15">
        <f>IF(E12&lt;&gt;"BET",0,IF(F12="Win",(C12-1)*VALUE(SUBSTITUTE(D12,"EUR ","")),IF(F12="Loss",-VALUE(SUBSTITUTE(D12,"EUR ","")),IF(F12="Push",0,""))))</f>
        <v/>
      </c>
    </row>
    <row r="13" ht="15" customHeight="1">
      <c r="A13" s="4" t="inlineStr">
        <is>
          <t>Cincinnati Reds vs Minnesota Twins (Game 3 of 3)</t>
        </is>
      </c>
      <c r="B13" s="4" t="inlineStr">
        <is>
          <t>SKIP - No clear edge</t>
        </is>
      </c>
      <c r="C13" s="5" t="n">
        <v>1.8</v>
      </c>
      <c r="D13" s="4" t="inlineStr">
        <is>
          <t>EUR 0.00</t>
        </is>
      </c>
      <c r="E13" s="4" t="inlineStr">
        <is>
          <t>SKIP</t>
        </is>
      </c>
      <c r="F13" s="4" t="inlineStr"/>
      <c r="G13" s="6">
        <f>IF(E13&lt;&gt;"BET",0,IF(F13="Win",(C13-1)*VALUE(SUBSTITUTE(D13,"EUR ","")),IF(F13="Loss",-VALUE(SUBSTITUTE(D13,"EUR ","")),IF(F13="Push",0,""))))</f>
        <v/>
      </c>
    </row>
    <row r="14" ht="15" customHeight="1">
      <c r="A14" s="16" t="inlineStr">
        <is>
          <t>New York Mets vs Chicago Cubs (Game 3 of 3)</t>
        </is>
      </c>
      <c r="B14" s="16" t="inlineStr">
        <is>
          <t>NYM Moneyline</t>
        </is>
      </c>
      <c r="C14" s="17" t="n">
        <v>2.15</v>
      </c>
      <c r="D14" s="16" t="inlineStr">
        <is>
          <t>EUR 5.93</t>
        </is>
      </c>
      <c r="E14" s="16" t="inlineStr">
        <is>
          <t>BET</t>
        </is>
      </c>
      <c r="F14" s="16" t="inlineStr">
        <is>
          <t>Loss</t>
        </is>
      </c>
      <c r="G14" s="18">
        <f>IF(E14&lt;&gt;"BET",0,IF(F14="Win",(C14-1)*VALUE(SUBSTITUTE(D14,"EUR ","")),IF(F14="Loss",-VALUE(SUBSTITUTE(D14,"EUR ","")),IF(F14="Push",0,""))))</f>
        <v/>
      </c>
    </row>
    <row r="15" ht="15" customHeight="1">
      <c r="A15" s="4" t="inlineStr">
        <is>
          <t>Los Angeles Dodgers vs Colorado Rockies (Game 3 of 4)</t>
        </is>
      </c>
      <c r="B15" s="4" t="inlineStr">
        <is>
          <t>SKIP - No clear edge</t>
        </is>
      </c>
      <c r="C15" s="5" t="n">
        <v>1.4</v>
      </c>
      <c r="D15" s="4" t="inlineStr">
        <is>
          <t>EUR 0.00</t>
        </is>
      </c>
      <c r="E15" s="4" t="inlineStr">
        <is>
          <t>SKIP</t>
        </is>
      </c>
      <c r="F15" s="4" t="inlineStr"/>
      <c r="G15" s="6">
        <f>IF(E15&lt;&gt;"BET",0,IF(F15="Win",(C15-1)*VALUE(SUBSTITUTE(D15,"EUR ","")),IF(F15="Loss",-VALUE(SUBSTITUTE(D15,"EUR ","")),IF(F15="Push",0,""))))</f>
        <v/>
      </c>
    </row>
    <row r="16" ht="15" customHeight="1">
      <c r="A16" s="16" t="inlineStr">
        <is>
          <t>Chicago White Sox vs Athletics (Game 3 of 3)</t>
        </is>
      </c>
      <c r="B16" s="16" t="inlineStr">
        <is>
          <t>ATH -1.5 (Run Line)</t>
        </is>
      </c>
      <c r="C16" s="17" t="n">
        <v>2.3</v>
      </c>
      <c r="D16" s="16" t="inlineStr">
        <is>
          <t>EUR 29.64</t>
        </is>
      </c>
      <c r="E16" s="16" t="inlineStr">
        <is>
          <t>BET</t>
        </is>
      </c>
      <c r="F16" s="16" t="inlineStr">
        <is>
          <t>Loss</t>
        </is>
      </c>
      <c r="G16" s="18">
        <f>IF(E16&lt;&gt;"BET",0,IF(F16="Win",(C16-1)*VALUE(SUBSTITUTE(D16,"EUR ","")),IF(F16="Loss",-VALUE(SUBSTITUTE(D16,"EUR ","")),IF(F16="Push",0,""))))</f>
        <v/>
      </c>
    </row>
    <row r="17" ht="15" customHeight="1">
      <c r="A17" s="4" t="inlineStr">
        <is>
          <t>San Diego Padres vs Los Angeles Angels (Game 3 of 3)</t>
        </is>
      </c>
      <c r="B17" s="4" t="inlineStr">
        <is>
          <t>SKIP - No clear edge</t>
        </is>
      </c>
      <c r="C17" s="5" t="n">
        <v>1.95</v>
      </c>
      <c r="D17" s="4" t="inlineStr">
        <is>
          <t>EUR 0.00</t>
        </is>
      </c>
      <c r="E17" s="4" t="inlineStr">
        <is>
          <t>SKIP</t>
        </is>
      </c>
      <c r="F17" s="4" t="inlineStr"/>
      <c r="G17" s="6">
        <f>IF(E17&lt;&gt;"BET",0,IF(F17="Win",(C17-1)*VALUE(SUBSTITUTE(D17,"EUR ","")),IF(F17="Loss",-VALUE(SUBSTITUTE(D17,"EUR ","")),IF(F17="Push",0,""))))</f>
        <v/>
      </c>
    </row>
    <row r="18" ht="15" customHeight="1">
      <c r="A18" s="4" t="inlineStr">
        <is>
          <t>Texas Rangers vs Seattle Mariners (Game 3 of 3)</t>
        </is>
      </c>
      <c r="B18" s="4" t="inlineStr">
        <is>
          <t>SKIP - No clear edge</t>
        </is>
      </c>
      <c r="C18" s="5" t="n">
        <v>1.7</v>
      </c>
      <c r="D18" s="4" t="inlineStr">
        <is>
          <t>EUR 0.00</t>
        </is>
      </c>
      <c r="E18" s="4" t="inlineStr">
        <is>
          <t>SKIP</t>
        </is>
      </c>
      <c r="F18" s="4" t="inlineStr"/>
      <c r="G18" s="6">
        <f>IF(E18&lt;&gt;"BET",0,IF(F18="Win",(C18-1)*VALUE(SUBSTITUTE(D18,"EUR ","")),IF(F18="Loss",-VALUE(SUBSTITUTE(D18,"EUR ","")),IF(F18="Push",0,""))))</f>
        <v/>
      </c>
    </row>
    <row r="19" ht="15" customHeight="1">
      <c r="A19" s="16" t="inlineStr">
        <is>
          <t>Toronto Blue Jays vs Arizona Diamondbacks (Game 3 of 3)</t>
        </is>
      </c>
      <c r="B19" s="16" t="inlineStr">
        <is>
          <t>AZ Moneyline</t>
        </is>
      </c>
      <c r="C19" s="17" t="n">
        <v>1.91</v>
      </c>
      <c r="D19" s="16" t="inlineStr">
        <is>
          <t>EUR 5.93</t>
        </is>
      </c>
      <c r="E19" s="16" t="inlineStr">
        <is>
          <t>BET</t>
        </is>
      </c>
      <c r="F19" s="16" t="inlineStr">
        <is>
          <t>Loss</t>
        </is>
      </c>
      <c r="G19" s="18">
        <f>IF(E19&lt;&gt;"BET",0,IF(F19="Win",(C19-1)*VALUE(SUBSTITUTE(D19,"EUR ","")),IF(F19="Loss",-VALUE(SUBSTITUTE(D19,"EUR ","")),IF(F19="Push",0,""))))</f>
        <v/>
      </c>
    </row>
    <row r="20" ht="15" customHeight="1">
      <c r="A20" s="13" t="inlineStr">
        <is>
          <t>Detroit Tigers vs Boston Red Sox (Game 3 of 4)</t>
        </is>
      </c>
      <c r="B20" s="13" t="inlineStr">
        <is>
          <t>DET Moneyline</t>
        </is>
      </c>
      <c r="C20" s="14" t="n">
        <v>2.25</v>
      </c>
      <c r="D20" s="13" t="inlineStr">
        <is>
          <t>EUR 11.86</t>
        </is>
      </c>
      <c r="E20" s="13" t="inlineStr">
        <is>
          <t>BET</t>
        </is>
      </c>
      <c r="F20" s="13" t="inlineStr">
        <is>
          <t>Win</t>
        </is>
      </c>
      <c r="G20" s="15">
        <f>IF(E20&lt;&gt;"BET",0,IF(F20="Win",(C20-1)*VALUE(SUBSTITUTE(D20,"EUR ","")),IF(F20="Loss",-VALUE(SUBSTITUTE(D20,"EUR ","")),IF(F20="Push",0,""))))</f>
        <v/>
      </c>
    </row>
    <row r="21" ht="15" customHeight="1">
      <c r="A21" s="4" t="inlineStr">
        <is>
          <t>Atlanta Braves vs Philadelphia Phillies (Game 3 of 3)</t>
        </is>
      </c>
      <c r="B21" s="4" t="inlineStr">
        <is>
          <t>SKIP - Missing odds data</t>
        </is>
      </c>
      <c r="C21" s="5" t="n"/>
      <c r="D21" s="4" t="inlineStr">
        <is>
          <t>EUR 0.00</t>
        </is>
      </c>
      <c r="E21" s="4" t="inlineStr">
        <is>
          <t>SKIP</t>
        </is>
      </c>
      <c r="F21" s="4" t="inlineStr"/>
      <c r="G21" s="6">
        <f>IF(E21&lt;&gt;"BET",0,IF(F21="Win",(C21-1)*VALUE(SUBSTITUTE(D21,"EUR ","")),IF(F21="Loss",-VALUE(SUBSTITUTE(D21,"EUR ","")),IF(F21="Push",0,""))))</f>
        <v/>
      </c>
    </row>
    <row r="22"/>
    <row r="23" ht="15" customHeight="1">
      <c r="A23" s="10" t="inlineStr">
        <is>
          <t>Total Bet Count:</t>
        </is>
      </c>
      <c r="B23" s="11">
        <f>COUNTIF($E$7:$E$21,"BET")</f>
        <v/>
      </c>
    </row>
    <row r="24" ht="15" customHeight="1">
      <c r="A24" s="10" t="inlineStr">
        <is>
          <t>Total Staked:</t>
        </is>
      </c>
      <c r="B24" s="12">
        <f>SUMPRODUCT(--($E$7:$E$21="BET"),VALUE(SUBSTITUTE($D$7:$D$21,"EUR ","")))</f>
        <v/>
      </c>
    </row>
    <row r="25" ht="15" customHeight="1">
      <c r="A25" s="10" t="inlineStr">
        <is>
          <t>Total Profit:</t>
        </is>
      </c>
      <c r="B25" s="12">
        <f>SUM(G7:G21)</f>
        <v/>
      </c>
    </row>
    <row r="26" ht="15" customHeight="1">
      <c r="A26" s="10" t="inlineStr">
        <is>
          <t>Net Bankroll:</t>
        </is>
      </c>
      <c r="B26" s="12">
        <f>592.9+B25</f>
        <v/>
      </c>
    </row>
  </sheetData>
  <autoFilter ref="A6:G21"/>
  <mergeCells count="1">
    <mergeCell ref="A1:H1"/>
  </mergeCells>
  <conditionalFormatting sqref="B25:B26">
    <cfRule type="cellIs" priority="1" operator="greaterThan" dxfId="0">
      <formula>0</formula>
    </cfRule>
    <cfRule type="cellIs" priority="2" operator="lessThan" dxfId="1">
      <formula>0</formula>
    </cfRule>
  </conditionalFormatting>
  <dataValidations count="1">
    <dataValidation sqref="F7:F21" showDropDown="0" showInputMessage="0" showErrorMessage="0" allowBlank="1" error="Choose Win, Loss, or Push" prompt="Select a result" type="list">
      <formula1>"Win,Loss,Push"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2026-04-19T20:24:45Z</dcterms:created>
  <dcterms:modified xsi:type="dcterms:W3CDTF">2026-04-20T00:03:44Z</dcterms:modified>
</cp:coreProperties>
</file>