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'Predictions'!$A$6:$G$19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EUR&quot; 0.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83153"/>
      </patternFill>
    </fill>
    <fill>
      <patternFill patternType="solid">
        <fgColor rgb="00E7F0FF"/>
      </patternFill>
    </fill>
    <fill>
      <patternFill patternType="solid">
        <fgColor rgb="00244063"/>
      </patternFill>
    </fill>
    <fill>
      <patternFill patternType="solid">
        <fgColor rgb="00FFF1EC"/>
      </patternFill>
    </fill>
    <fill>
      <patternFill patternType="solid">
        <fgColor rgb="00EAF8F1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0" fontId="2" fillId="3" borderId="1" pivotButton="0" quotePrefix="0" xfId="0"/>
    <xf numFmtId="1" fontId="2" fillId="3" borderId="1" pivotButton="0" quotePrefix="0" xfId="0"/>
    <xf numFmtId="164" fontId="2" fillId="3" borderId="1" pivotButton="0" quotePrefix="0" xfId="0"/>
    <xf numFmtId="0" fontId="0" fillId="7" borderId="1" applyAlignment="1" pivotButton="0" quotePrefix="0" xfId="0">
      <alignment vertical="top" wrapText="1"/>
    </xf>
    <xf numFmtId="2" fontId="0" fillId="7" borderId="1" applyAlignment="1" pivotButton="0" quotePrefix="0" xfId="0">
      <alignment vertical="top" wrapText="1"/>
    </xf>
    <xf numFmtId="164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2" fontId="0" fillId="8" borderId="1" applyAlignment="1" pivotButton="0" quotePrefix="0" xfId="0">
      <alignment vertical="top" wrapText="1"/>
    </xf>
    <xf numFmtId="164" fontId="0" fillId="8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8F0DD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10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 ht="15" customHeight="1">
      <c r="A1" s="1" t="inlineStr">
        <is>
          <t>April 18th 2026 Predictions Tracker</t>
        </is>
      </c>
    </row>
    <row r="2" ht="15" customHeight="1">
      <c r="A2" s="2" t="inlineStr">
        <is>
          <t>Bankroll: EUR 553.10</t>
        </is>
      </c>
    </row>
    <row r="3" ht="15" customHeight="1">
      <c r="A3" s="2" t="inlineStr">
        <is>
          <t>Generated for: 2026-04-18</t>
        </is>
      </c>
    </row>
    <row r="4" ht="15" customHeight="1">
      <c r="A4" s="2" t="inlineStr">
        <is>
          <t>Select Win / Loss / Push in the Result column and totals update automatically.</t>
        </is>
      </c>
    </row>
    <row r="5" ht="15" customHeight="1"/>
    <row r="6" ht="15" customHeight="1">
      <c r="A6" s="3" t="inlineStr">
        <is>
          <t>Game</t>
        </is>
      </c>
      <c r="B6" s="3" t="inlineStr">
        <is>
          <t>Pick</t>
        </is>
      </c>
      <c r="C6" s="3" t="inlineStr">
        <is>
          <t>Odds</t>
        </is>
      </c>
      <c r="D6" s="3" t="inlineStr">
        <is>
          <t>Stake</t>
        </is>
      </c>
      <c r="E6" s="3" t="inlineStr">
        <is>
          <t>Decision</t>
        </is>
      </c>
      <c r="F6" s="3" t="inlineStr">
        <is>
          <t>Result</t>
        </is>
      </c>
      <c r="G6" s="3" t="inlineStr">
        <is>
          <t>Profit/Loss</t>
        </is>
      </c>
    </row>
    <row r="7" ht="15" customHeight="1">
      <c r="A7" s="4" t="inlineStr">
        <is>
          <t>Cincinnati Reds vs Minnesota Twins (Game 2 of 3)</t>
        </is>
      </c>
      <c r="B7" s="4" t="inlineStr">
        <is>
          <t>SKIP - Missing odds data</t>
        </is>
      </c>
      <c r="C7" s="5" t="n"/>
      <c r="D7" s="4" t="inlineStr">
        <is>
          <t>EUR 0.00</t>
        </is>
      </c>
      <c r="E7" s="4" t="inlineStr">
        <is>
          <t>SKIP</t>
        </is>
      </c>
      <c r="F7" s="4" t="inlineStr"/>
      <c r="G7" s="6">
        <f>IF(E7&lt;&gt;"BET",0,IF(F7="Win",(C7-1)*VALUE(SUBSTITUTE(D7,"EUR ","")),IF(F7="Loss",-VALUE(SUBSTITUTE(D7,"EUR ","")),IF(F7="Push",0,""))))</f>
        <v/>
      </c>
    </row>
    <row r="8" ht="15" customHeight="1">
      <c r="A8" s="4" t="inlineStr">
        <is>
          <t>Tampa Bay Rays vs Pittsburgh Pirates (Game 2 of 3)</t>
        </is>
      </c>
      <c r="B8" s="4" t="inlineStr">
        <is>
          <t>SKIP - Missing odds data</t>
        </is>
      </c>
      <c r="C8" s="5" t="n"/>
      <c r="D8" s="4" t="inlineStr">
        <is>
          <t>EUR 0.00</t>
        </is>
      </c>
      <c r="E8" s="4" t="inlineStr">
        <is>
          <t>SKIP</t>
        </is>
      </c>
      <c r="F8" s="4" t="inlineStr"/>
      <c r="G8" s="6">
        <f>IF(E8&lt;&gt;"BET",0,IF(F8="Win",(C8-1)*VALUE(SUBSTITUTE(D8,"EUR ","")),IF(F8="Loss",-VALUE(SUBSTITUTE(D8,"EUR ","")),IF(F8="Push",0,""))))</f>
        <v/>
      </c>
    </row>
    <row r="9" ht="15" customHeight="1">
      <c r="A9" s="4" t="inlineStr">
        <is>
          <t>San Francisco Giants vs Washington Nationals (Game 2 of 3)</t>
        </is>
      </c>
      <c r="B9" s="4" t="inlineStr">
        <is>
          <t>SKIP - Missing odds data</t>
        </is>
      </c>
      <c r="C9" s="5" t="n"/>
      <c r="D9" s="4" t="inlineStr">
        <is>
          <t>EUR 0.00</t>
        </is>
      </c>
      <c r="E9" s="4" t="inlineStr">
        <is>
          <t>SKIP</t>
        </is>
      </c>
      <c r="F9" s="4" t="inlineStr"/>
      <c r="G9" s="6">
        <f>IF(E9&lt;&gt;"BET",0,IF(F9="Win",(C9-1)*VALUE(SUBSTITUTE(D9,"EUR ","")),IF(F9="Loss",-VALUE(SUBSTITUTE(D9,"EUR ","")),IF(F9="Push",0,""))))</f>
        <v/>
      </c>
    </row>
    <row r="10" ht="15" customHeight="1">
      <c r="A10" s="13" t="inlineStr">
        <is>
          <t>Chicago White Sox vs Athletics (Game 2 of 3)</t>
        </is>
      </c>
      <c r="B10" s="13" t="inlineStr">
        <is>
          <t>SKIP - Missing odds data</t>
        </is>
      </c>
      <c r="C10" s="14" t="n"/>
      <c r="D10" s="13" t="inlineStr">
        <is>
          <t>EUR 0.00</t>
        </is>
      </c>
      <c r="E10" s="13" t="inlineStr">
        <is>
          <t>SKIP</t>
        </is>
      </c>
      <c r="F10" s="13" t="inlineStr">
        <is>
          <t>Win</t>
        </is>
      </c>
      <c r="G10" s="15">
        <f>IF(E10&lt;&gt;"BET",0,IF(F10="Win",(C10-1)*VALUE(SUBSTITUTE(D10,"EUR ","")),IF(F10="Loss",-VALUE(SUBSTITUTE(D10,"EUR ","")),IF(F10="Push",0,""))))</f>
        <v/>
      </c>
    </row>
    <row r="11" ht="15" customHeight="1">
      <c r="A11" s="16" t="inlineStr">
        <is>
          <t>Detroit Tigers vs Boston Red Sox (Game 2 of 4)</t>
        </is>
      </c>
      <c r="B11" s="16" t="inlineStr">
        <is>
          <t>SKIP - Missing odds data</t>
        </is>
      </c>
      <c r="C11" s="17" t="n"/>
      <c r="D11" s="16" t="inlineStr">
        <is>
          <t>EUR 0.00</t>
        </is>
      </c>
      <c r="E11" s="16" t="inlineStr">
        <is>
          <t>SKIP</t>
        </is>
      </c>
      <c r="F11" s="16" t="inlineStr">
        <is>
          <t>Loss</t>
        </is>
      </c>
      <c r="G11" s="18">
        <f>IF(E11&lt;&gt;"BET",0,IF(F11="Win",(C11-1)*VALUE(SUBSTITUTE(D11,"EUR ","")),IF(F11="Loss",-VALUE(SUBSTITUTE(D11,"EUR ","")),IF(F11="Push",0,""))))</f>
        <v/>
      </c>
    </row>
    <row r="12" ht="15" customHeight="1">
      <c r="A12" s="16" t="inlineStr">
        <is>
          <t>Milwaukee Brewers vs Miami Marlins (Game 2 of 3)</t>
        </is>
      </c>
      <c r="B12" s="16" t="inlineStr">
        <is>
          <t>SKIP - Missing odds data</t>
        </is>
      </c>
      <c r="C12" s="17" t="n"/>
      <c r="D12" s="16" t="inlineStr">
        <is>
          <t>EUR 0.00</t>
        </is>
      </c>
      <c r="E12" s="16" t="inlineStr">
        <is>
          <t>SKIP</t>
        </is>
      </c>
      <c r="F12" s="16" t="inlineStr">
        <is>
          <t>Loss</t>
        </is>
      </c>
      <c r="G12" s="18">
        <f>IF(E12&lt;&gt;"BET",0,IF(F12="Win",(C12-1)*VALUE(SUBSTITUTE(D12,"EUR ","")),IF(F12="Loss",-VALUE(SUBSTITUTE(D12,"EUR ","")),IF(F12="Push",0,""))))</f>
        <v/>
      </c>
    </row>
    <row r="13" ht="15" customHeight="1">
      <c r="A13" s="4" t="inlineStr">
        <is>
          <t>Baltimore Orioles vs Cleveland Guardians (Game 3 of 4)</t>
        </is>
      </c>
      <c r="B13" s="4" t="inlineStr">
        <is>
          <t>SKIP - No clear edge</t>
        </is>
      </c>
      <c r="C13" s="5" t="n">
        <v>1.73</v>
      </c>
      <c r="D13" s="4" t="inlineStr">
        <is>
          <t>EUR 0.00</t>
        </is>
      </c>
      <c r="E13" s="4" t="inlineStr">
        <is>
          <t>SKIP</t>
        </is>
      </c>
      <c r="F13" s="4" t="inlineStr"/>
      <c r="G13" s="6">
        <f>IF(E13&lt;&gt;"BET",0,IF(F13="Win",(C13-1)*VALUE(SUBSTITUTE(D13,"EUR ","")),IF(F13="Loss",-VALUE(SUBSTITUTE(D13,"EUR ","")),IF(F13="Push",0,""))))</f>
        <v/>
      </c>
    </row>
    <row r="14" ht="15" customHeight="1">
      <c r="A14" s="16" t="inlineStr">
        <is>
          <t>St. Louis Cardinals vs Houston Astros (Game 2 of 3)</t>
        </is>
      </c>
      <c r="B14" s="16" t="inlineStr">
        <is>
          <t>SKIP - No clear edge</t>
        </is>
      </c>
      <c r="C14" s="17" t="n"/>
      <c r="D14" s="16" t="inlineStr">
        <is>
          <t>EUR 0.00</t>
        </is>
      </c>
      <c r="E14" s="16" t="inlineStr">
        <is>
          <t>SKIP</t>
        </is>
      </c>
      <c r="F14" s="16" t="inlineStr">
        <is>
          <t>Loss</t>
        </is>
      </c>
      <c r="G14" s="18">
        <f>IF(E14&lt;&gt;"BET",0,IF(F14="Win",(C14-1)*VALUE(SUBSTITUTE(D14,"EUR ","")),IF(F14="Loss",-VALUE(SUBSTITUTE(D14,"EUR ","")),IF(F14="Push",0,""))))</f>
        <v/>
      </c>
    </row>
    <row r="15" ht="15" customHeight="1">
      <c r="A15" s="4" t="inlineStr">
        <is>
          <t>Texas Rangers vs Seattle Mariners (Game 2 of 3)</t>
        </is>
      </c>
      <c r="B15" s="4" t="inlineStr">
        <is>
          <t>SEA Moneyline</t>
        </is>
      </c>
      <c r="C15" s="5" t="n">
        <v>1.73</v>
      </c>
      <c r="D15" s="4" t="inlineStr">
        <is>
          <t>EUR 10.00</t>
        </is>
      </c>
      <c r="E15" s="4" t="inlineStr">
        <is>
          <t>BET</t>
        </is>
      </c>
      <c r="F15" s="4" t="inlineStr"/>
      <c r="G15" s="6">
        <f>IF(E15&lt;&gt;"BET",0,IF(F15="Win",(C15-1)*VALUE(SUBSTITUTE(D15,"EUR ","")),IF(F15="Loss",-VALUE(SUBSTITUTE(D15,"EUR ","")),IF(F15="Push",0,""))))</f>
        <v/>
      </c>
    </row>
    <row r="16" ht="15" customHeight="1">
      <c r="A16" s="13" t="inlineStr">
        <is>
          <t>Atlanta Braves vs Philadelphia Phillies (Game 2 of 3)</t>
        </is>
      </c>
      <c r="B16" s="13" t="inlineStr">
        <is>
          <t>SKIP - No clear edge</t>
        </is>
      </c>
      <c r="C16" s="14" t="n"/>
      <c r="D16" s="13" t="inlineStr">
        <is>
          <t>EUR 0.00</t>
        </is>
      </c>
      <c r="E16" s="13" t="inlineStr">
        <is>
          <t>SKIP</t>
        </is>
      </c>
      <c r="F16" s="13" t="inlineStr">
        <is>
          <t>Win</t>
        </is>
      </c>
      <c r="G16" s="15">
        <f>IF(E16&lt;&gt;"BET",0,IF(F16="Win",(C16-1)*VALUE(SUBSTITUTE(D16,"EUR ","")),IF(F16="Loss",-VALUE(SUBSTITUTE(D16,"EUR ","")),IF(F16="Push",0,""))))</f>
        <v/>
      </c>
    </row>
    <row r="17" ht="15" customHeight="1">
      <c r="A17" s="13" t="inlineStr">
        <is>
          <t>Los Angeles Dodgers vs Colorado Rockies (Game 2 of 4)</t>
        </is>
      </c>
      <c r="B17" s="13" t="inlineStr">
        <is>
          <t>COL Moneyline</t>
        </is>
      </c>
      <c r="C17" s="14" t="n">
        <v>3.3</v>
      </c>
      <c r="D17" s="13" t="inlineStr">
        <is>
          <t>EUR 25.00</t>
        </is>
      </c>
      <c r="E17" s="13" t="inlineStr">
        <is>
          <t>BET</t>
        </is>
      </c>
      <c r="F17" s="13" t="inlineStr">
        <is>
          <t>Win</t>
        </is>
      </c>
      <c r="G17" s="15">
        <f>IF(E17&lt;&gt;"BET",0,IF(F17="Win",(C17-1)*VALUE(SUBSTITUTE(D17,"EUR ","")),IF(F17="Loss",-VALUE(SUBSTITUTE(D17,"EUR ","")),IF(F17="Push",0,""))))</f>
        <v/>
      </c>
    </row>
    <row r="18" ht="15" customHeight="1">
      <c r="A18" s="4" t="inlineStr">
        <is>
          <t>Toronto Blue Jays vs Arizona Diamondbacks (Game 2 of 3)</t>
        </is>
      </c>
      <c r="B18" s="4" t="inlineStr">
        <is>
          <t>AZ -1.5 (Run Line)</t>
        </is>
      </c>
      <c r="C18" s="5" t="n">
        <v>2.38</v>
      </c>
      <c r="D18" s="4" t="inlineStr">
        <is>
          <t>EUR 20.00</t>
        </is>
      </c>
      <c r="E18" s="4" t="inlineStr">
        <is>
          <t>BET</t>
        </is>
      </c>
      <c r="F18" s="4" t="inlineStr"/>
      <c r="G18" s="6">
        <f>IF(E18&lt;&gt;"BET",0,IF(F18="Win",(C18-1)*VALUE(SUBSTITUTE(D18,"EUR ","")),IF(F18="Loss",-VALUE(SUBSTITUTE(D18,"EUR ","")),IF(F18="Push",0,""))))</f>
        <v/>
      </c>
    </row>
    <row r="19" ht="15" customHeight="1">
      <c r="A19" s="13" t="inlineStr">
        <is>
          <t>San Diego Padres vs Los Angeles Angels (Game 2 of 3)</t>
        </is>
      </c>
      <c r="B19" s="13" t="inlineStr">
        <is>
          <t>SD Moneyline</t>
        </is>
      </c>
      <c r="C19" s="14" t="n">
        <v>1.91</v>
      </c>
      <c r="D19" s="13" t="inlineStr">
        <is>
          <t>EUR 5.00</t>
        </is>
      </c>
      <c r="E19" s="13" t="inlineStr">
        <is>
          <t>BET</t>
        </is>
      </c>
      <c r="F19" s="13" t="inlineStr">
        <is>
          <t>Win</t>
        </is>
      </c>
      <c r="G19" s="15">
        <f>IF(E19&lt;&gt;"BET",0,IF(F19="Win",(C19-1)*VALUE(SUBSTITUTE(D19,"EUR ","")),IF(F19="Loss",-VALUE(SUBSTITUTE(D19,"EUR ","")),IF(F19="Push",0,""))))</f>
        <v/>
      </c>
    </row>
    <row r="20"/>
    <row r="21" ht="15" customHeight="1">
      <c r="A21" s="10" t="inlineStr">
        <is>
          <t>Total Bet Count:</t>
        </is>
      </c>
      <c r="B21" s="11">
        <f>COUNTIF($E$7:$E$19,"BET")</f>
        <v/>
      </c>
    </row>
    <row r="22" ht="15" customHeight="1">
      <c r="A22" s="10" t="inlineStr">
        <is>
          <t>Total Staked:</t>
        </is>
      </c>
      <c r="B22" s="12">
        <f>SUMPRODUCT(--($E$7:$E$19="BET"),VALUE(SUBSTITUTE($D$7:$D$19,"EUR ","")))</f>
        <v/>
      </c>
    </row>
    <row r="23" ht="15" customHeight="1">
      <c r="A23" s="10" t="inlineStr">
        <is>
          <t>Total Profit:</t>
        </is>
      </c>
      <c r="B23" s="12">
        <f>SUM(G7:G19)</f>
        <v/>
      </c>
    </row>
    <row r="24" ht="15" customHeight="1">
      <c r="A24" s="10" t="inlineStr">
        <is>
          <t>Net Bankroll:</t>
        </is>
      </c>
      <c r="B24" s="12">
        <f>553.1+B23</f>
        <v/>
      </c>
    </row>
  </sheetData>
  <autoFilter ref="A6:G19"/>
  <mergeCells count="1">
    <mergeCell ref="A1:H1"/>
  </mergeCells>
  <conditionalFormatting sqref="B23:B24">
    <cfRule type="cellIs" priority="1" operator="greaterThan" dxfId="0">
      <formula>0</formula>
    </cfRule>
    <cfRule type="cellIs" priority="2" operator="lessThan" dxfId="1">
      <formula>0</formula>
    </cfRule>
  </conditionalFormatting>
  <dataValidations count="1">
    <dataValidation sqref="F7:F19" showDropDown="0" showInputMessage="0" showErrorMessage="0" allowBlank="1" error="Choose Win, Loss, or Push" prompt="Select a result" type="list">
      <formula1>"Win,Loss,Push"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2026-04-18T21:01:24Z</dcterms:created>
  <dcterms:modified xsi:type="dcterms:W3CDTF">2026-04-19T20:22:49Z</dcterms:modified>
</cp:coreProperties>
</file>